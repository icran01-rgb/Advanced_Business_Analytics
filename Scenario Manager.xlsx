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1041c5da15f0f9/Desktop/BA/"/>
    </mc:Choice>
  </mc:AlternateContent>
  <xr:revisionPtr revIDLastSave="3" documentId="8_{1AAB42DE-4B26-4E4A-924C-6DAE718A476B}" xr6:coauthVersionLast="47" xr6:coauthVersionMax="47" xr10:uidLastSave="{65C322AB-6C90-4CF2-A5A7-6124D4A7EC43}"/>
  <bookViews>
    <workbookView xWindow="-110" yWindow="-110" windowWidth="19420" windowHeight="11500" activeTab="1" xr2:uid="{9FE2A128-86DB-4FFC-A250-D8E60D33EE11}"/>
  </bookViews>
  <sheets>
    <sheet name="Scenario Summary" sheetId="3" r:id="rId1"/>
    <sheet name="Sheet1" sheetId="1" r:id="rId2"/>
  </sheets>
  <definedNames>
    <definedName name="COGS">Sheet1!$B$3</definedName>
    <definedName name="Gross_Profit">Sheet1!$B$11</definedName>
    <definedName name="Interest_Expenses">Sheet1!$B$7</definedName>
    <definedName name="Marketing_Expenses">Sheet1!$B$5</definedName>
    <definedName name="Net_Profit">Sheet1!$B$14</definedName>
    <definedName name="Operating_Expenses">Sheet1!$B$4</definedName>
    <definedName name="Operating_Profit">Sheet1!$B$12</definedName>
    <definedName name="Pre_Tax_Profit">Sheet1!$B$13</definedName>
    <definedName name="R_D_Expenses">Sheet1!$B$6</definedName>
    <definedName name="Revenue">Sheet1!$B$2</definedName>
    <definedName name="Tax_Rate">Sheet1!$B$8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B14" i="1" s="1"/>
</calcChain>
</file>

<file path=xl/sharedStrings.xml><?xml version="1.0" encoding="utf-8"?>
<sst xmlns="http://schemas.openxmlformats.org/spreadsheetml/2006/main" count="39" uniqueCount="35">
  <si>
    <t>Input Variables (Key Assumptions)</t>
  </si>
  <si>
    <t>Revenue</t>
  </si>
  <si>
    <t>COGS</t>
  </si>
  <si>
    <t>Operating Expenses</t>
  </si>
  <si>
    <t>Marketing Expenses</t>
  </si>
  <si>
    <t>R&amp;D Expenses</t>
  </si>
  <si>
    <t>Interest Expenses</t>
  </si>
  <si>
    <t>Tax Rate</t>
  </si>
  <si>
    <t>Output (Target) Variables</t>
  </si>
  <si>
    <t>Gross Profit</t>
  </si>
  <si>
    <t>Operating Profit</t>
  </si>
  <si>
    <t>Pre-Tax Profit</t>
  </si>
  <si>
    <t>Net Profit</t>
  </si>
  <si>
    <t>Operating_Expenses</t>
  </si>
  <si>
    <t>Marketing_Expenses</t>
  </si>
  <si>
    <t>R_D_Expenses</t>
  </si>
  <si>
    <t>Interest_Expenses</t>
  </si>
  <si>
    <t>Tax_Rate</t>
  </si>
  <si>
    <t>Gross_Profit</t>
  </si>
  <si>
    <t>Operating_Profit</t>
  </si>
  <si>
    <t>Pre_Tax_Profit</t>
  </si>
  <si>
    <t>Net_Profit</t>
  </si>
  <si>
    <t>Likely Case</t>
  </si>
  <si>
    <t>Created by Kelly L. Williams on 8/18/2024</t>
  </si>
  <si>
    <t>Best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</si>
  <si>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</si>
  <si>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</si>
  <si>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</si>
  <si>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</si>
  <si>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</si>
  <si>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</si>
  <si>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</si>
  <si>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</si>
  <si>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JP Morgan Chase</t>
  </si>
  <si>
    <t>Created by Ian Cran on 3/19/2026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</si>
</sst>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/>
    <xf numFmtId="0" fontId="0" fillId="0" borderId="0" xfId="0" applyFill="1" applyBorder="1" applyAlignment="1"/>
    <xf numFmtId="43" fontId="0" fillId="0" borderId="0" xfId="0" applyNumberFormat="1" applyFill="1" applyBorder="1" applyAlignment="1"/>
    <xf numFmtId="43" fontId="0" fillId="0" borderId="2" xfId="0" applyNumberFormat="1" applyFill="1" applyBorder="1" applyAlignment="1"/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43" fontId="0" fillId="4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497C-394F-47C7-913E-F0E0849D2540}">
  <sheetPr>
    <outlinePr summaryBelow="0"/>
  </sheetPr>
  <dimension ref="B1:H20"/>
  <sheetViews>
    <sheetView showGridLines="0" workbookViewId="0">
      <selection activeCell="F19" sqref="F19"/>
    </sheetView>
  </sheetViews>
  <sheetFormatPr defaultRowHeight="14.5" outlineLevelRow="1" outlineLevelCol="1" x14ac:dyDescent="0.35"/>
  <cols>
    <col min="3" max="3" width="18" bestFit="1" customWidth="1"/>
    <col min="4" max="8" width="13.26953125" bestFit="1" customWidth="1" outlineLevel="1"/>
  </cols>
  <sheetData>
    <row r="1" spans="2:8" ht="15" thickBot="1" x14ac:dyDescent="0.4"/>
    <row r="2" spans="2:8" ht="16" x14ac:dyDescent="0.4">
      <c r="B2" s="8" t="s">
        <v>26</v>
      </c>
      <c r="C2" s="8"/>
      <c r="D2" s="13"/>
      <c r="E2" s="13"/>
      <c r="F2" s="13"/>
      <c r="G2" s="13"/>
      <c r="H2" s="13"/>
    </row>
    <row r="3" spans="2:8" ht="16" collapsed="1" x14ac:dyDescent="0.4">
      <c r="B3" s="7"/>
      <c r="C3" s="7"/>
      <c r="D3" s="14" t="s">
        <v>28</v>
      </c>
      <c r="E3" s="14" t="s">
        <v>22</v>
      </c>
      <c r="F3" s="14" t="s">
        <v>24</v>
      </c>
      <c r="G3" s="14" t="s">
        <v>25</v>
      </c>
      <c r="H3" s="14" t="s">
        <v>33</v>
      </c>
    </row>
    <row r="4" spans="2:8" ht="31.5" hidden="1" outlineLevel="1" x14ac:dyDescent="0.35">
      <c r="B4" s="10"/>
      <c r="C4" s="10"/>
      <c r="D4" s="4"/>
      <c r="E4" s="16" t="s">
        <v>23</v>
      </c>
      <c r="F4" s="16" t="s">
        <v>23</v>
      </c>
      <c r="G4" s="16" t="s">
        <v>23</v>
      </c>
      <c r="H4" s="16" t="s">
        <v>34</v>
      </c>
    </row>
    <row r="5" spans="2:8" x14ac:dyDescent="0.35">
      <c r="B5" s="11" t="s">
        <v>27</v>
      </c>
      <c r="C5" s="11"/>
      <c r="D5" s="9"/>
      <c r="E5" s="9"/>
      <c r="F5" s="9"/>
      <c r="G5" s="9"/>
      <c r="H5" s="9"/>
    </row>
    <row r="6" spans="2:8" outlineLevel="1" x14ac:dyDescent="0.35">
      <c r="B6" s="10"/>
      <c r="C6" s="10" t="s">
        <v>1</v>
      </c>
      <c r="D6" s="5">
        <v>500000</v>
      </c>
      <c r="E6" s="15">
        <v>500000</v>
      </c>
      <c r="F6" s="15">
        <v>600000</v>
      </c>
      <c r="G6" s="15">
        <v>400000</v>
      </c>
      <c r="H6" s="15">
        <v>700000</v>
      </c>
    </row>
    <row r="7" spans="2:8" outlineLevel="1" x14ac:dyDescent="0.35">
      <c r="B7" s="10"/>
      <c r="C7" s="10" t="s">
        <v>2</v>
      </c>
      <c r="D7" s="5">
        <v>300000</v>
      </c>
      <c r="E7" s="15">
        <v>300000</v>
      </c>
      <c r="F7" s="15">
        <v>280000</v>
      </c>
      <c r="G7" s="15">
        <v>320000</v>
      </c>
      <c r="H7" s="15">
        <v>225000</v>
      </c>
    </row>
    <row r="8" spans="2:8" outlineLevel="1" x14ac:dyDescent="0.35">
      <c r="B8" s="10"/>
      <c r="C8" s="10" t="s">
        <v>13</v>
      </c>
      <c r="D8" s="5">
        <v>100000</v>
      </c>
      <c r="E8" s="15">
        <v>100000</v>
      </c>
      <c r="F8" s="15">
        <v>90000</v>
      </c>
      <c r="G8" s="15">
        <v>110000</v>
      </c>
      <c r="H8" s="15">
        <v>3000</v>
      </c>
    </row>
    <row r="9" spans="2:8" outlineLevel="1" x14ac:dyDescent="0.35">
      <c r="B9" s="10"/>
      <c r="C9" s="10" t="s">
        <v>14</v>
      </c>
      <c r="D9" s="5">
        <v>50000</v>
      </c>
      <c r="E9" s="15">
        <v>50000</v>
      </c>
      <c r="F9" s="15">
        <v>40000</v>
      </c>
      <c r="G9" s="15">
        <v>60000</v>
      </c>
      <c r="H9" s="15">
        <v>2000</v>
      </c>
    </row>
    <row r="10" spans="2:8" outlineLevel="1" x14ac:dyDescent="0.35">
      <c r="B10" s="10"/>
      <c r="C10" s="10" t="s">
        <v>15</v>
      </c>
      <c r="D10" s="5">
        <v>20000</v>
      </c>
      <c r="E10" s="15">
        <v>20000</v>
      </c>
      <c r="F10" s="15">
        <v>15000</v>
      </c>
      <c r="G10" s="15">
        <v>25000</v>
      </c>
      <c r="H10" s="15">
        <v>150000</v>
      </c>
    </row>
    <row r="11" spans="2:8" outlineLevel="1" x14ac:dyDescent="0.35">
      <c r="B11" s="10"/>
      <c r="C11" s="10" t="s">
        <v>16</v>
      </c>
      <c r="D11" s="5">
        <v>10000</v>
      </c>
      <c r="E11" s="15">
        <v>10000</v>
      </c>
      <c r="F11" s="15">
        <v>8000</v>
      </c>
      <c r="G11" s="15">
        <v>12000</v>
      </c>
      <c r="H11" s="15">
        <v>10000</v>
      </c>
    </row>
    <row r="12" spans="2:8" outlineLevel="1" x14ac:dyDescent="0.35">
      <c r="B12" s="10"/>
      <c r="C12" s="10" t="s">
        <v>17</v>
      </c>
      <c r="D12" s="5">
        <v>0.25</v>
      </c>
      <c r="E12" s="15">
        <v>0.25</v>
      </c>
      <c r="F12" s="15">
        <v>0.25</v>
      </c>
      <c r="G12" s="15">
        <v>0.25</v>
      </c>
      <c r="H12" s="15">
        <v>0.25</v>
      </c>
    </row>
    <row r="13" spans="2:8" x14ac:dyDescent="0.35">
      <c r="B13" s="11" t="s">
        <v>29</v>
      </c>
      <c r="C13" s="11"/>
      <c r="D13" s="9"/>
      <c r="E13" s="9"/>
      <c r="F13" s="9"/>
      <c r="G13" s="9"/>
      <c r="H13" s="9"/>
    </row>
    <row r="14" spans="2:8" outlineLevel="1" x14ac:dyDescent="0.35">
      <c r="B14" s="10"/>
      <c r="C14" s="10" t="s">
        <v>18</v>
      </c>
      <c r="D14" s="5">
        <v>200000</v>
      </c>
      <c r="E14" s="5">
        <v>200000</v>
      </c>
      <c r="F14" s="5">
        <v>320000</v>
      </c>
      <c r="G14" s="5">
        <v>80000</v>
      </c>
      <c r="H14" s="5">
        <v>475000</v>
      </c>
    </row>
    <row r="15" spans="2:8" outlineLevel="1" x14ac:dyDescent="0.35">
      <c r="B15" s="10"/>
      <c r="C15" s="10" t="s">
        <v>19</v>
      </c>
      <c r="D15" s="5">
        <v>30000</v>
      </c>
      <c r="E15" s="5">
        <v>30000</v>
      </c>
      <c r="F15" s="5">
        <v>175000</v>
      </c>
      <c r="G15" s="5">
        <v>-115000</v>
      </c>
      <c r="H15" s="5">
        <v>320000</v>
      </c>
    </row>
    <row r="16" spans="2:8" outlineLevel="1" x14ac:dyDescent="0.35">
      <c r="B16" s="10"/>
      <c r="C16" s="10" t="s">
        <v>20</v>
      </c>
      <c r="D16" s="5">
        <v>20000</v>
      </c>
      <c r="E16" s="5">
        <v>20000</v>
      </c>
      <c r="F16" s="5">
        <v>167000</v>
      </c>
      <c r="G16" s="5">
        <v>-127000</v>
      </c>
      <c r="H16" s="5">
        <v>310000</v>
      </c>
    </row>
    <row r="17" spans="2:8" ht="15" outlineLevel="1" thickBot="1" x14ac:dyDescent="0.4">
      <c r="B17" s="12"/>
      <c r="C17" s="12" t="s">
        <v>21</v>
      </c>
      <c r="D17" s="6">
        <v>15000</v>
      </c>
      <c r="E17" s="6">
        <v>15000</v>
      </c>
      <c r="F17" s="6">
        <v>125250</v>
      </c>
      <c r="G17" s="6">
        <v>-95250</v>
      </c>
      <c r="H17" s="6">
        <v>232500</v>
      </c>
    </row>
    <row r="18" spans="2:8" x14ac:dyDescent="0.35">
      <c r="B18" t="s">
        <v>30</v>
      </c>
    </row>
    <row r="19" spans="2:8" x14ac:dyDescent="0.35">
      <c r="B19" t="s">
        <v>31</v>
      </c>
    </row>
    <row r="20" spans="2:8" x14ac:dyDescent="0.35">
      <c r="B2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7B13-1E4E-4DFD-9ABE-96DD2E844DD4}">
  <dimension ref="A1:B14"/>
  <sheetViews>
    <sheetView tabSelected="1" workbookViewId="0">
      <selection sqref="A1:B14"/>
    </sheetView>
  </sheetViews>
  <sheetFormatPr defaultRowHeight="14.5" x14ac:dyDescent="0.35"/>
  <cols>
    <col min="1" max="1" width="17.81640625" customWidth="1"/>
    <col min="2" max="2" width="11.81640625" bestFit="1" customWidth="1"/>
    <col min="3" max="3" width="11.1796875" bestFit="1" customWidth="1"/>
    <col min="4" max="4" width="17.81640625" bestFit="1" customWidth="1"/>
    <col min="5" max="5" width="18.1796875" bestFit="1" customWidth="1"/>
    <col min="6" max="6" width="13.1796875" bestFit="1" customWidth="1"/>
    <col min="7" max="7" width="15.81640625" bestFit="1" customWidth="1"/>
    <col min="8" max="8" width="8.453125" bestFit="1" customWidth="1"/>
    <col min="9" max="9" width="11.1796875" bestFit="1" customWidth="1"/>
    <col min="10" max="10" width="14.453125" bestFit="1" customWidth="1"/>
    <col min="11" max="11" width="12.453125" bestFit="1" customWidth="1"/>
    <col min="12" max="12" width="11.1796875" bestFit="1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s="2">
        <v>700000</v>
      </c>
    </row>
    <row r="3" spans="1:2" x14ac:dyDescent="0.35">
      <c r="A3" t="s">
        <v>2</v>
      </c>
      <c r="B3" s="2">
        <v>225000</v>
      </c>
    </row>
    <row r="4" spans="1:2" x14ac:dyDescent="0.35">
      <c r="A4" t="s">
        <v>3</v>
      </c>
      <c r="B4" s="2">
        <v>3000</v>
      </c>
    </row>
    <row r="5" spans="1:2" x14ac:dyDescent="0.35">
      <c r="A5" t="s">
        <v>4</v>
      </c>
      <c r="B5" s="2">
        <v>2000</v>
      </c>
    </row>
    <row r="6" spans="1:2" x14ac:dyDescent="0.35">
      <c r="A6" t="s">
        <v>5</v>
      </c>
      <c r="B6" s="2">
        <v>150000</v>
      </c>
    </row>
    <row r="7" spans="1:2" x14ac:dyDescent="0.35">
      <c r="A7" t="s">
        <v>6</v>
      </c>
      <c r="B7" s="2">
        <v>10000</v>
      </c>
    </row>
    <row r="8" spans="1:2" x14ac:dyDescent="0.35">
      <c r="A8" t="s">
        <v>7</v>
      </c>
      <c r="B8" s="2">
        <v>0.25</v>
      </c>
    </row>
    <row r="10" spans="1:2" x14ac:dyDescent="0.35">
      <c r="A10" s="1" t="s">
        <v>8</v>
      </c>
    </row>
    <row r="11" spans="1:2" x14ac:dyDescent="0.35">
      <c r="A11" t="s">
        <v>9</v>
      </c>
      <c r="B11" s="3">
        <f>B2-B3</f>
        <v>475000</v>
      </c>
    </row>
    <row r="12" spans="1:2" x14ac:dyDescent="0.35">
      <c r="A12" t="s">
        <v>10</v>
      </c>
      <c r="B12" s="3">
        <f>B11-B4-B5-B6</f>
        <v>320000</v>
      </c>
    </row>
    <row r="13" spans="1:2" x14ac:dyDescent="0.35">
      <c r="A13" t="s">
        <v>11</v>
      </c>
      <c r="B13" s="3">
        <f>B12-B7</f>
        <v>310000</v>
      </c>
    </row>
    <row r="14" spans="1:2" x14ac:dyDescent="0.35">
      <c r="A14" t="s">
        <v>12</v>
      </c>
      <c r="B14" s="3">
        <f>B13*(1-B8)</f>
        <v>232500</v>
      </c>
    </row>
  </sheetData>
  <scenarios current="3" show="3" sqref="B11:B14">
    <scenario name="Likely Case" locked="1" count="7" user="Kelly L. Williams" comment="Created by Kelly L. Williams on 8/18/2024">
      <inputCells r="B2" val="500000"/>
      <inputCells r="B3" val="300000"/>
      <inputCells r="B4" val="100000"/>
      <inputCells r="B5" val="50000"/>
      <inputCells r="B6" val="20000"/>
      <inputCells r="B7" val="10000"/>
      <inputCells r="B8" val="0.25"/>
    </scenario>
    <scenario name="Best Case" locked="1" count="7" user="Kelly L. Williams" comment="Created by Kelly L. Williams on 8/18/2024">
      <inputCells r="B2" val="600000" numFmtId="43"/>
      <inputCells r="B3" val="280000" numFmtId="43"/>
      <inputCells r="B4" val="90000" numFmtId="43"/>
      <inputCells r="B5" val="40000" numFmtId="43"/>
      <inputCells r="B6" val="15000" numFmtId="43"/>
      <inputCells r="B7" val="8000" numFmtId="43"/>
      <inputCells r="B8" val="0.25" numFmtId="43"/>
    </scenario>
    <scenario name="Worst Case" locked="1" count="7" user="Kelly L. Williams" comment="Created by Kelly L. Williams on 8/18/2024">
      <inputCells r="B2" val="400000" numFmtId="43"/>
      <inputCells r="B3" val="320000" numFmtId="43"/>
      <inputCells r="B4" val="110000" numFmtId="43"/>
      <inputCells r="B5" val="60000" numFmtId="43"/>
      <inputCells r="B6" val="25000" numFmtId="43"/>
      <inputCells r="B7" val="12000" numFmtId="43"/>
      <inputCells r="B8" val="0.25" numFmtId="43"/>
    </scenario>
    <scenario name="JP Morgan Chase" locked="1" count="7" user="Ian Cran" comment="Created by Ian Cran on 3/19/2026">
      <inputCells r="B2" val="700000" numFmtId="43"/>
      <inputCells r="B3" val="225000" numFmtId="43"/>
      <inputCells r="B4" val="3000" numFmtId="43"/>
      <inputCells r="B5" val="2000" numFmtId="43"/>
      <inputCells r="B6" val="150000" numFmtId="43"/>
      <inputCells r="B7" val="10000" numFmtId="43"/>
      <inputCells r="B8" val="0.25" numFmtId="43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Scenario Summary</vt:lpstr>
      <vt:lpstr>Sheet1</vt:lpstr>
      <vt:lpstr>COGS</vt:lpstr>
      <vt:lpstr>Gross_Profit</vt:lpstr>
      <vt:lpstr>Interest_Expenses</vt:lpstr>
      <vt:lpstr>Marketing_Expenses</vt:lpstr>
      <vt:lpstr>Net_Profit</vt:lpstr>
      <vt:lpstr>Operating_Expenses</vt:lpstr>
      <vt:lpstr>Operating_Profit</vt:lpstr>
      <vt:lpstr>Pre_Tax_Profit</vt:lpstr>
      <vt:lpstr>R_D_Expenses</vt:lpstr>
      <vt:lpstr>Revenue</vt:lpstr>
      <vt:lpstr>Tax_Rate</vt:lpstr>
    </vt:vector>
  </TitlesOfParts>
  <Company>Middle Tennessee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L. Williams</dc:creator>
  <cp:lastModifiedBy>Ian Cran</cp:lastModifiedBy>
  <dcterms:created xsi:type="dcterms:W3CDTF">2024-08-18T19:30:21Z</dcterms:created>
  <dcterms:modified xsi:type="dcterms:W3CDTF">2026-03-26T13:50:11Z</dcterms:modified>
</cp:coreProperties>
</file>